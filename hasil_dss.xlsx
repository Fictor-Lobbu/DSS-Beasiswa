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hitungan D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PERHITUNGAN DSS (BWM + MOORA)</t>
        </is>
      </c>
    </row>
    <row r="3">
      <c r="A3" t="inlineStr">
        <is>
          <t>BWM - Pembobotan</t>
        </is>
      </c>
    </row>
    <row r="4">
      <c r="A4" t="inlineStr">
        <is>
          <t>Kriteria</t>
        </is>
      </c>
      <c r="B4" t="inlineStr">
        <is>
          <t>BO</t>
        </is>
      </c>
      <c r="C4" t="inlineStr">
        <is>
          <t>OW</t>
        </is>
      </c>
      <c r="D4" t="inlineStr">
        <is>
          <t>Bobot</t>
        </is>
      </c>
    </row>
    <row r="5">
      <c r="A5" t="inlineStr">
        <is>
          <t>surat</t>
        </is>
      </c>
      <c r="B5" t="n">
        <v>9</v>
      </c>
      <c r="C5" t="n">
        <v>1</v>
      </c>
      <c r="D5" t="n">
        <v>0.07692307692307704</v>
      </c>
    </row>
    <row r="6">
      <c r="A6" t="inlineStr">
        <is>
          <t>ipk</t>
        </is>
      </c>
      <c r="B6" t="n">
        <v>1</v>
      </c>
      <c r="C6" t="n">
        <v>9</v>
      </c>
      <c r="D6" t="n">
        <v>0.6923076923076924</v>
      </c>
    </row>
    <row r="7">
      <c r="A7" t="inlineStr">
        <is>
          <t>peringkat</t>
        </is>
      </c>
      <c r="B7" t="n">
        <v>3</v>
      </c>
      <c r="C7" t="n">
        <v>3</v>
      </c>
      <c r="D7" t="n">
        <v>0.2307692307692304</v>
      </c>
    </row>
    <row r="9">
      <c r="A9" t="inlineStr">
        <is>
          <t>Data &amp; Transformasi</t>
        </is>
      </c>
    </row>
    <row r="10">
      <c r="A10" t="inlineStr">
        <is>
          <t>Nama</t>
        </is>
      </c>
      <c r="B10" t="inlineStr">
        <is>
          <t>surat</t>
        </is>
      </c>
      <c r="C10" t="inlineStr">
        <is>
          <t>ipk</t>
        </is>
      </c>
      <c r="D10" t="inlineStr">
        <is>
          <t>peringkat</t>
        </is>
      </c>
    </row>
    <row r="11">
      <c r="A11" t="inlineStr">
        <is>
          <t>Geby</t>
        </is>
      </c>
      <c r="B11" t="n">
        <v>1</v>
      </c>
      <c r="C11" t="n">
        <v>3.78</v>
      </c>
      <c r="D11" t="n">
        <v>3</v>
      </c>
    </row>
    <row r="12">
      <c r="A12" t="inlineStr">
        <is>
          <t>Geford</t>
        </is>
      </c>
      <c r="B12" t="n">
        <v>1</v>
      </c>
      <c r="C12" t="n">
        <v>3.98</v>
      </c>
      <c r="D12" t="n">
        <v>2</v>
      </c>
    </row>
    <row r="13">
      <c r="A13" t="inlineStr">
        <is>
          <t>Freshy</t>
        </is>
      </c>
      <c r="B13" t="n">
        <v>1</v>
      </c>
      <c r="C13" t="n">
        <v>3.28</v>
      </c>
      <c r="D13" t="n">
        <v>3</v>
      </c>
    </row>
    <row r="14">
      <c r="A14" t="inlineStr">
        <is>
          <t>viki</t>
        </is>
      </c>
      <c r="B14" t="n">
        <v>1</v>
      </c>
      <c r="C14" t="n">
        <v>3.81</v>
      </c>
      <c r="D14" t="n">
        <v>2</v>
      </c>
    </row>
    <row r="15">
      <c r="A15" t="inlineStr">
        <is>
          <t>kyra</t>
        </is>
      </c>
      <c r="B15" t="n">
        <v>1</v>
      </c>
      <c r="C15" t="n">
        <v>3.49</v>
      </c>
      <c r="D15" t="n">
        <v>2</v>
      </c>
    </row>
    <row r="16">
      <c r="A16" t="inlineStr">
        <is>
          <t>Pinkan</t>
        </is>
      </c>
      <c r="B16" t="n">
        <v>1</v>
      </c>
      <c r="C16" t="n">
        <v>3.43</v>
      </c>
      <c r="D16" t="n">
        <v>2</v>
      </c>
    </row>
    <row r="17">
      <c r="A17" t="inlineStr">
        <is>
          <t>Herdy</t>
        </is>
      </c>
      <c r="B17" t="n">
        <v>1</v>
      </c>
      <c r="C17" t="n">
        <v>3.87</v>
      </c>
      <c r="D17" t="n">
        <v>1</v>
      </c>
    </row>
    <row r="18">
      <c r="A18" t="inlineStr">
        <is>
          <t>Fiktor</t>
        </is>
      </c>
      <c r="B18" t="n">
        <v>1</v>
      </c>
      <c r="C18" t="n">
        <v>3.56</v>
      </c>
      <c r="D18" t="n">
        <v>1</v>
      </c>
    </row>
    <row r="19">
      <c r="A19" t="inlineStr">
        <is>
          <t>Lely</t>
        </is>
      </c>
      <c r="B19" t="n">
        <v>1</v>
      </c>
      <c r="C19" t="n">
        <v>3.25</v>
      </c>
      <c r="D19" t="n">
        <v>1</v>
      </c>
    </row>
    <row r="21">
      <c r="A21" t="inlineStr">
        <is>
          <t>Normalisasi</t>
        </is>
      </c>
    </row>
    <row r="22">
      <c r="A22" t="inlineStr">
        <is>
          <t>Nama</t>
        </is>
      </c>
      <c r="B22" t="inlineStr">
        <is>
          <t>surat</t>
        </is>
      </c>
      <c r="C22" t="inlineStr">
        <is>
          <t>ipk</t>
        </is>
      </c>
      <c r="D22" t="inlineStr">
        <is>
          <t>peringkat</t>
        </is>
      </c>
    </row>
    <row r="23">
      <c r="A23">
        <f>A11</f>
        <v/>
      </c>
      <c r="B23">
        <f>B11/SQRT(SUMSQ(B11:B19))</f>
        <v/>
      </c>
      <c r="C23">
        <f>C11/SQRT(SUMSQ(C11:C19))</f>
        <v/>
      </c>
      <c r="D23">
        <f>D11/SQRT(SUMSQ(D11:D19))</f>
        <v/>
      </c>
    </row>
    <row r="24">
      <c r="A24">
        <f>A12</f>
        <v/>
      </c>
      <c r="B24">
        <f>B12/SQRT(SUMSQ(B11:B19))</f>
        <v/>
      </c>
      <c r="C24">
        <f>C12/SQRT(SUMSQ(C11:C19))</f>
        <v/>
      </c>
      <c r="D24">
        <f>D12/SQRT(SUMSQ(D11:D19))</f>
        <v/>
      </c>
    </row>
    <row r="25">
      <c r="A25">
        <f>A13</f>
        <v/>
      </c>
      <c r="B25">
        <f>B13/SQRT(SUMSQ(B11:B19))</f>
        <v/>
      </c>
      <c r="C25">
        <f>C13/SQRT(SUMSQ(C11:C19))</f>
        <v/>
      </c>
      <c r="D25">
        <f>D13/SQRT(SUMSQ(D11:D19))</f>
        <v/>
      </c>
    </row>
    <row r="26">
      <c r="A26">
        <f>A14</f>
        <v/>
      </c>
      <c r="B26">
        <f>B14/SQRT(SUMSQ(B11:B19))</f>
        <v/>
      </c>
      <c r="C26">
        <f>C14/SQRT(SUMSQ(C11:C19))</f>
        <v/>
      </c>
      <c r="D26">
        <f>D14/SQRT(SUMSQ(D11:D19))</f>
        <v/>
      </c>
    </row>
    <row r="27">
      <c r="A27">
        <f>A15</f>
        <v/>
      </c>
      <c r="B27">
        <f>B15/SQRT(SUMSQ(B11:B19))</f>
        <v/>
      </c>
      <c r="C27">
        <f>C15/SQRT(SUMSQ(C11:C19))</f>
        <v/>
      </c>
      <c r="D27">
        <f>D15/SQRT(SUMSQ(D11:D19))</f>
        <v/>
      </c>
    </row>
    <row r="28">
      <c r="A28">
        <f>A16</f>
        <v/>
      </c>
      <c r="B28">
        <f>B16/SQRT(SUMSQ(B11:B19))</f>
        <v/>
      </c>
      <c r="C28">
        <f>C16/SQRT(SUMSQ(C11:C19))</f>
        <v/>
      </c>
      <c r="D28">
        <f>D16/SQRT(SUMSQ(D11:D19))</f>
        <v/>
      </c>
    </row>
    <row r="29">
      <c r="A29">
        <f>A17</f>
        <v/>
      </c>
      <c r="B29">
        <f>B17/SQRT(SUMSQ(B11:B19))</f>
        <v/>
      </c>
      <c r="C29">
        <f>C17/SQRT(SUMSQ(C11:C19))</f>
        <v/>
      </c>
      <c r="D29">
        <f>D17/SQRT(SUMSQ(D11:D19))</f>
        <v/>
      </c>
    </row>
    <row r="30">
      <c r="A30">
        <f>A18</f>
        <v/>
      </c>
      <c r="B30">
        <f>B18/SQRT(SUMSQ(B11:B19))</f>
        <v/>
      </c>
      <c r="C30">
        <f>C18/SQRT(SUMSQ(C11:C19))</f>
        <v/>
      </c>
      <c r="D30">
        <f>D18/SQRT(SUMSQ(D11:D19))</f>
        <v/>
      </c>
    </row>
    <row r="31">
      <c r="A31">
        <f>A19</f>
        <v/>
      </c>
      <c r="B31">
        <f>B19/SQRT(SUMSQ(B11:B19))</f>
        <v/>
      </c>
      <c r="C31">
        <f>C19/SQRT(SUMSQ(C11:C19))</f>
        <v/>
      </c>
      <c r="D31">
        <f>D19/SQRT(SUMSQ(D11:D19))</f>
        <v/>
      </c>
    </row>
    <row r="33">
      <c r="A33" t="inlineStr">
        <is>
          <t>Pembobotan</t>
        </is>
      </c>
    </row>
    <row r="34">
      <c r="A34" t="inlineStr">
        <is>
          <t>Nama</t>
        </is>
      </c>
      <c r="B34" t="inlineStr">
        <is>
          <t>surat</t>
        </is>
      </c>
      <c r="C34" t="inlineStr">
        <is>
          <t>ipk</t>
        </is>
      </c>
      <c r="D34" t="inlineStr">
        <is>
          <t>peringkat</t>
        </is>
      </c>
    </row>
    <row r="35">
      <c r="A35">
        <f>A23</f>
        <v/>
      </c>
      <c r="B35">
        <f>B23*D5</f>
        <v/>
      </c>
      <c r="C35">
        <f>C23*D6</f>
        <v/>
      </c>
      <c r="D35">
        <f>D23*D7</f>
        <v/>
      </c>
    </row>
    <row r="36">
      <c r="A36">
        <f>A24</f>
        <v/>
      </c>
      <c r="B36">
        <f>B24*D5</f>
        <v/>
      </c>
      <c r="C36">
        <f>C24*D6</f>
        <v/>
      </c>
      <c r="D36">
        <f>D24*D7</f>
        <v/>
      </c>
    </row>
    <row r="37">
      <c r="A37">
        <f>A25</f>
        <v/>
      </c>
      <c r="B37">
        <f>B25*D5</f>
        <v/>
      </c>
      <c r="C37">
        <f>C25*D6</f>
        <v/>
      </c>
      <c r="D37">
        <f>D25*D7</f>
        <v/>
      </c>
    </row>
    <row r="38">
      <c r="A38">
        <f>A26</f>
        <v/>
      </c>
      <c r="B38">
        <f>B26*D5</f>
        <v/>
      </c>
      <c r="C38">
        <f>C26*D6</f>
        <v/>
      </c>
      <c r="D38">
        <f>D26*D7</f>
        <v/>
      </c>
    </row>
    <row r="39">
      <c r="A39">
        <f>A27</f>
        <v/>
      </c>
      <c r="B39">
        <f>B27*D5</f>
        <v/>
      </c>
      <c r="C39">
        <f>C27*D6</f>
        <v/>
      </c>
      <c r="D39">
        <f>D27*D7</f>
        <v/>
      </c>
    </row>
    <row r="40">
      <c r="A40">
        <f>A28</f>
        <v/>
      </c>
      <c r="B40">
        <f>B28*D5</f>
        <v/>
      </c>
      <c r="C40">
        <f>C28*D6</f>
        <v/>
      </c>
      <c r="D40">
        <f>D28*D7</f>
        <v/>
      </c>
    </row>
    <row r="41">
      <c r="A41">
        <f>A29</f>
        <v/>
      </c>
      <c r="B41">
        <f>B29*D5</f>
        <v/>
      </c>
      <c r="C41">
        <f>C29*D6</f>
        <v/>
      </c>
      <c r="D41">
        <f>D29*D7</f>
        <v/>
      </c>
    </row>
    <row r="42">
      <c r="A42">
        <f>A30</f>
        <v/>
      </c>
      <c r="B42">
        <f>B30*D5</f>
        <v/>
      </c>
      <c r="C42">
        <f>C30*D6</f>
        <v/>
      </c>
      <c r="D42">
        <f>D30*D7</f>
        <v/>
      </c>
    </row>
    <row r="43">
      <c r="A43">
        <f>A31</f>
        <v/>
      </c>
      <c r="B43">
        <f>B31*D5</f>
        <v/>
      </c>
      <c r="C43">
        <f>C31*D6</f>
        <v/>
      </c>
      <c r="D43">
        <f>D31*D7</f>
        <v/>
      </c>
    </row>
    <row r="45">
      <c r="A45" t="inlineStr">
        <is>
          <t>Nilai Yi</t>
        </is>
      </c>
    </row>
    <row r="46">
      <c r="A46" t="inlineStr">
        <is>
          <t>Nama</t>
        </is>
      </c>
      <c r="B46" t="inlineStr">
        <is>
          <t>Skor</t>
        </is>
      </c>
    </row>
    <row r="47">
      <c r="A47">
        <f>A36</f>
        <v/>
      </c>
      <c r="B47">
        <f>SUM(B36:D36)</f>
        <v/>
      </c>
    </row>
    <row r="48">
      <c r="A48">
        <f>A37</f>
        <v/>
      </c>
      <c r="B48">
        <f>SUM(B37:D37)</f>
        <v/>
      </c>
    </row>
    <row r="49">
      <c r="A49">
        <f>A38</f>
        <v/>
      </c>
      <c r="B49">
        <f>SUM(B38:D38)</f>
        <v/>
      </c>
    </row>
    <row r="50">
      <c r="A50">
        <f>A39</f>
        <v/>
      </c>
      <c r="B50">
        <f>SUM(B39:D39)</f>
        <v/>
      </c>
    </row>
    <row r="51">
      <c r="A51">
        <f>A40</f>
        <v/>
      </c>
      <c r="B51">
        <f>SUM(B40:D40)</f>
        <v/>
      </c>
    </row>
    <row r="52">
      <c r="A52">
        <f>A41</f>
        <v/>
      </c>
      <c r="B52">
        <f>SUM(B41:D41)</f>
        <v/>
      </c>
    </row>
    <row r="53">
      <c r="A53">
        <f>A42</f>
        <v/>
      </c>
      <c r="B53">
        <f>SUM(B42:D42)</f>
        <v/>
      </c>
    </row>
    <row r="54">
      <c r="A54">
        <f>A43</f>
        <v/>
      </c>
      <c r="B54">
        <f>SUM(B43:D43)</f>
        <v/>
      </c>
    </row>
    <row r="55">
      <c r="A55">
        <f>A44</f>
        <v/>
      </c>
      <c r="B55">
        <f>SUM(B44:D44)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2026-04-18T13:44:23Z</dcterms:created>
  <dcterms:modified xsi:type="dcterms:W3CDTF">2026-04-18T13:44:24Z</dcterms:modified>
</cp:coreProperties>
</file>